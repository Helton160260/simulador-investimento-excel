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5\Downloads\"/>
    </mc:Choice>
  </mc:AlternateContent>
  <xr:revisionPtr revIDLastSave="0" documentId="8_{7A74C8B6-ECC8-49E5-BE86-BED3F09E023C}" xr6:coauthVersionLast="47" xr6:coauthVersionMax="47" xr10:uidLastSave="{00000000-0000-0000-0000-000000000000}"/>
  <bookViews>
    <workbookView xWindow="20370" yWindow="-120" windowWidth="20730" windowHeight="11040" tabRatio="0" xr2:uid="{E9B988E5-35AC-49AA-B6D4-17C8B77A95F5}"/>
  </bookViews>
  <sheets>
    <sheet name="App" sheetId="1" r:id="rId1"/>
    <sheet name="Apoio" sheetId="2" r:id="rId2"/>
  </sheets>
  <definedNames>
    <definedName name="aporte">App!$C$14</definedName>
    <definedName name="_xlnm.Print_Area" localSheetId="0">App!$A$1:$E$60</definedName>
    <definedName name="patrimonio">App!$C$17</definedName>
    <definedName name="qtd_anos">App!$C$15</definedName>
    <definedName name="rendimento_carteira">App!$C$10</definedName>
    <definedName name="salario">App!$C$9</definedName>
    <definedName name="sugestao_investimento">App!$C$11</definedName>
    <definedName name="taxa_mensal">App!$C$16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H4" i="2"/>
  <c r="G4" i="2"/>
  <c r="A20" i="2"/>
  <c r="A19" i="2"/>
  <c r="A18" i="2"/>
  <c r="A17" i="2"/>
  <c r="A16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1" i="1"/>
  <c r="C17" i="1"/>
  <c r="C18" i="1" s="1"/>
  <c r="C11" i="1"/>
  <c r="C22" i="1"/>
  <c r="D22" i="1" s="1"/>
  <c r="C23" i="1"/>
  <c r="D23" i="1" s="1"/>
  <c r="C24" i="1"/>
  <c r="D24" i="1" s="1"/>
  <c r="C25" i="1"/>
  <c r="D25" i="1" s="1"/>
  <c r="C21" i="1"/>
  <c r="D21" i="1" s="1"/>
  <c r="D41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<sst xmlns="http://schemas.openxmlformats.org/spreadsheetml/2006/main" count="69" uniqueCount="33">
  <si>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</si>
  <si>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</si>
  <si>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</si>
  <si>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</si>
  <si>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</si>
  <si>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</si>
  <si>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</si>
  <si>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</si>
  <si>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</si>
  <si>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</si>
  <si>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</si>
  <si>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</si>
  <si>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</si>
  <si>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</si>
  <si>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Rendimentos Carteira</t>
  </si>
  <si>
    <t>Salário</t>
  </si>
  <si>
    <t>Sugestão de Investimento</t>
  </si>
  <si>
    <t>Agressivo</t>
  </si>
  <si>
    <t>VALOR A SER INVESTIDO POR MÊS</t>
  </si>
  <si>
    <t>PERFIL</t>
  </si>
  <si>
    <t>TIPO DE FII</t>
  </si>
  <si>
    <t>Percentual Sugerido</t>
  </si>
  <si>
    <t>Valor</t>
  </si>
  <si>
    <t>PAPEL</t>
  </si>
  <si>
    <t>TIJOLO</t>
  </si>
  <si>
    <t>HIBRÍDOS</t>
  </si>
  <si>
    <t>FOFs</t>
  </si>
  <si>
    <t>DESENVOLVIMENTO</t>
  </si>
  <si>
    <t>HOTELARIAS</t>
  </si>
  <si>
    <t>%</t>
  </si>
  <si>
    <t>Conservador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</si>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</sst>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_-[$R$-416]\ * #,##0.00_-;\-[$R$-416]\ * #,##0.00_-;_-[$R$-416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auto="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auto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auto="1"/>
      </bottom>
      <diagonal/>
    </border>
    <border>
      <left style="medium">
        <color theme="0" tint="-0.14996795556505021"/>
      </left>
      <right style="medium">
        <color auto="1"/>
      </right>
      <top style="medium">
        <color theme="0" tint="-0.1499679555650502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50">
    <xf numFmtId="0" fontId="0" fillId="0" borderId="0" xfId="0"/>
    <xf numFmtId="164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6" xfId="1" applyNumberFormat="1" applyFont="1" applyBorder="1" applyAlignment="1">
      <alignment horizontal="center"/>
    </xf>
    <xf numFmtId="8" fontId="3" fillId="3" borderId="6" xfId="0" applyNumberFormat="1" applyFont="1" applyFill="1" applyBorder="1" applyAlignment="1">
      <alignment horizontal="center"/>
    </xf>
    <xf numFmtId="8" fontId="3" fillId="3" borderId="8" xfId="0" applyNumberFormat="1" applyFont="1" applyFill="1" applyBorder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right"/>
    </xf>
    <xf numFmtId="0" fontId="2" fillId="2" borderId="18" xfId="0" applyFont="1" applyFill="1" applyBorder="1" applyAlignment="1">
      <alignment horizontal="center" vertical="center"/>
    </xf>
    <xf numFmtId="10" fontId="0" fillId="0" borderId="23" xfId="0" applyNumberFormat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16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8" fillId="6" borderId="22" xfId="0" applyFont="1" applyFill="1" applyBorder="1" applyAlignment="1">
      <alignment horizontal="left" indent="2"/>
    </xf>
    <xf numFmtId="0" fontId="8" fillId="6" borderId="24" xfId="0" applyFont="1" applyFill="1" applyBorder="1" applyAlignment="1">
      <alignment horizontal="left" indent="2"/>
    </xf>
    <xf numFmtId="0" fontId="8" fillId="0" borderId="3" xfId="0" applyFont="1" applyBorder="1" applyAlignment="1">
      <alignment horizontal="left" indent="2"/>
    </xf>
    <xf numFmtId="0" fontId="8" fillId="0" borderId="5" xfId="0" applyFont="1" applyBorder="1" applyAlignment="1">
      <alignment horizontal="left" indent="2"/>
    </xf>
    <xf numFmtId="0" fontId="9" fillId="3" borderId="5" xfId="0" applyFont="1" applyFill="1" applyBorder="1" applyAlignment="1">
      <alignment horizontal="left" indent="2"/>
    </xf>
    <xf numFmtId="0" fontId="9" fillId="3" borderId="7" xfId="0" applyFont="1" applyFill="1" applyBorder="1" applyAlignment="1">
      <alignment horizontal="left" indent="2"/>
    </xf>
    <xf numFmtId="0" fontId="8" fillId="3" borderId="9" xfId="0" applyFont="1" applyFill="1" applyBorder="1" applyAlignment="1">
      <alignment horizontal="left" indent="2"/>
    </xf>
    <xf numFmtId="0" fontId="8" fillId="3" borderId="11" xfId="0" applyFont="1" applyFill="1" applyBorder="1" applyAlignment="1">
      <alignment horizontal="left" indent="2"/>
    </xf>
    <xf numFmtId="0" fontId="8" fillId="3" borderId="13" xfId="0" applyFont="1" applyFill="1" applyBorder="1" applyAlignment="1">
      <alignment horizontal="left" indent="2"/>
    </xf>
    <xf numFmtId="164" fontId="0" fillId="6" borderId="25" xfId="0" applyNumberFormat="1" applyFill="1" applyBorder="1" applyAlignment="1">
      <alignment horizontal="center"/>
    </xf>
    <xf numFmtId="0" fontId="6" fillId="5" borderId="0" xfId="2"/>
    <xf numFmtId="0" fontId="7" fillId="3" borderId="0" xfId="0" applyFont="1" applyFill="1" applyAlignment="1">
      <alignment horizontal="center"/>
    </xf>
    <xf numFmtId="165" fontId="7" fillId="3" borderId="0" xfId="0" applyNumberFormat="1" applyFont="1" applyFill="1"/>
    <xf numFmtId="164" fontId="7" fillId="3" borderId="0" xfId="0" applyNumberFormat="1" applyFont="1" applyFill="1"/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9" fontId="0" fillId="0" borderId="0" xfId="0" applyNumberFormat="1" applyAlignment="1">
      <alignment horizontal="center"/>
    </xf>
    <xf numFmtId="164" fontId="0" fillId="6" borderId="0" xfId="0" applyNumberFormat="1" applyFill="1"/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9" fontId="0" fillId="0" borderId="26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6" fillId="5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6" fillId="5" borderId="0" xfId="2" applyAlignment="1">
      <alignment horizontal="center"/>
    </xf>
    <xf numFmtId="0" fontId="7" fillId="8" borderId="0" xfId="0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D-4AB9-8B5E-044740A86BF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App!$D$35:$D$40</c:f>
              <c:numCache>
                <c:formatCode>"R$"\ 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40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D-4AB9-8B5E-044740A86BF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179029</xdr:colOff>
      <xdr:row>0</xdr:row>
      <xdr:rowOff>123825</xdr:rowOff>
    </xdr:from>
    <xdr:to>
      <xdr:col>4</xdr:col>
      <xdr:colOff>34925</xdr:colOff>
      <xdr:row>6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8272FFD-EADE-928F-B2EE-AC7134E64EB7}"/>
            </a:ext>
          </a:extLst>
        </xdr:cNvPr>
        <xdr:cNvGrpSpPr/>
      </xdr:nvGrpSpPr>
      <xdr:grpSpPr>
        <a:xfrm>
          <a:off x="179029" y="123825"/>
          <a:ext cx="6142396" cy="1019175"/>
          <a:chOff x="523876" y="276225"/>
          <a:chExt cx="4267200" cy="1019175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83968A6B-7677-6741-50E9-80DD2CFD32F8}"/>
              </a:ext>
            </a:extLst>
          </xdr:cNvPr>
          <xdr:cNvSpPr/>
        </xdr:nvSpPr>
        <xdr:spPr>
          <a:xfrm>
            <a:off x="523876" y="276225"/>
            <a:ext cx="4267200" cy="1019175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8D959950-C55F-4A6C-F74B-D22C3841F02D}"/>
              </a:ext>
            </a:extLst>
          </xdr:cNvPr>
          <xdr:cNvSpPr/>
        </xdr:nvSpPr>
        <xdr:spPr>
          <a:xfrm>
            <a:off x="1607780" y="333375"/>
            <a:ext cx="2659420" cy="809625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4400" b="1" cap="none" spc="0">
                <a:ln w="12700" cmpd="sng">
                  <a:solidFill>
                    <a:schemeClr val="accent4"/>
                  </a:solidFill>
                  <a:prstDash val="solid"/>
                </a:ln>
                <a:gradFill>
                  <a:gsLst>
                    <a:gs pos="0">
                      <a:schemeClr val="accent4"/>
                    </a:gs>
                    <a:gs pos="4000">
                      <a:schemeClr val="accent4">
                        <a:lumMod val="60000"/>
                        <a:lumOff val="40000"/>
                      </a:schemeClr>
                    </a:gs>
                    <a:gs pos="87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/>
                </a:gradFill>
                <a:effectLst/>
              </a:rPr>
              <a:t>HJ</a:t>
            </a:r>
            <a:r>
              <a:rPr lang="pt-BR" sz="4400" b="1" cap="none" spc="0" baseline="0">
                <a:ln w="12700" cmpd="sng">
                  <a:solidFill>
                    <a:schemeClr val="accent4"/>
                  </a:solidFill>
                  <a:prstDash val="solid"/>
                </a:ln>
                <a:gradFill>
                  <a:gsLst>
                    <a:gs pos="0">
                      <a:schemeClr val="accent4"/>
                    </a:gs>
                    <a:gs pos="4000">
                      <a:schemeClr val="accent4">
                        <a:lumMod val="60000"/>
                        <a:lumOff val="40000"/>
                      </a:schemeClr>
                    </a:gs>
                    <a:gs pos="87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/>
                </a:gradFill>
                <a:effectLst/>
              </a:rPr>
              <a:t> INVEST</a:t>
            </a:r>
            <a:endParaRPr lang="pt-BR" sz="4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endParaRPr>
          </a:p>
        </xdr:txBody>
      </xdr:sp>
      <xdr:pic>
        <xdr:nvPicPr>
          <xdr:cNvPr id="5" name="Imagem 4" descr="Carteira estrutura de tópicos">
            <a:extLst>
              <a:ext uri="{FF2B5EF4-FFF2-40B4-BE49-F238E27FC236}">
                <a16:creationId xmlns:a16="http://schemas.microsoft.com/office/drawing/2014/main" id="{6EEC83B4-B6C2-A370-1BE9-C6664554ED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693373" y="452437"/>
            <a:ext cx="914407" cy="571500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1</xdr:col>
      <xdr:colOff>9339</xdr:colOff>
      <xdr:row>42</xdr:row>
      <xdr:rowOff>41089</xdr:rowOff>
    </xdr:from>
    <xdr:to>
      <xdr:col>4</xdr:col>
      <xdr:colOff>1</xdr:colOff>
      <xdr:row>58</xdr:row>
      <xdr:rowOff>47439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2CF3A2-6C90-95B9-C48F-2E9574D30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4DCDA5-5130-4410-9384-F0C2DBF26A35}">
  <we:reference id="wa200009404" version="1.0.0.5" store="pt-B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1837-0124-40AF-95F3-ECE103FAB452}">
  <dimension ref="A7:G51"/>
  <sheetViews>
    <sheetView showGridLines="0" tabSelected="1" view="pageBreakPreview" zoomScale="85" zoomScaleNormal="90" zoomScaleSheetLayoutView="85" workbookViewId="0">
      <selection activeCell="C29" sqref="C29"/>
    </sheetView>
  </sheetViews>
  <sheetFormatPr defaultColWidth="0" defaultRowHeight="15" x14ac:dyDescent="0.25"/>
  <cols>
    <col min="1" max="1" width="3.42578125" customWidth="1"/>
    <col min="2" max="2" width="43.140625" customWidth="1"/>
    <col min="3" max="3" width="30.85546875" bestFit="1" customWidth="1"/>
    <col min="4" max="4" width="16.85546875" bestFit="1" customWidth="1"/>
    <col min="5" max="5" width="7.5703125" customWidth="1"/>
    <col min="6" max="7" width="7.5703125" hidden="1" customWidth="1"/>
    <col min="8" max="11" width="9.140625" hidden="1" customWidth="1"/>
    <col min="12" max="16384" width="9.140625" hidden="1"/>
  </cols>
  <sheetData>
    <row r="7" spans="2:3" ht="15.75" thickBot="1" x14ac:dyDescent="0.3"/>
    <row r="8" spans="2:3" ht="19.5" thickBot="1" x14ac:dyDescent="0.3">
      <c r="B8" s="46" t="s">
        <v>13</v>
      </c>
      <c r="C8" s="47"/>
    </row>
    <row r="9" spans="2:3" ht="16.5" thickBot="1" x14ac:dyDescent="0.3">
      <c r="B9" s="17" t="s">
        <v>15</v>
      </c>
      <c r="C9" s="16">
        <v>2000</v>
      </c>
    </row>
    <row r="10" spans="2:3" ht="16.5" thickBot="1" x14ac:dyDescent="0.3">
      <c r="B10" s="17" t="s">
        <v>14</v>
      </c>
      <c r="C10" s="9">
        <v>6.0000000000000001E-3</v>
      </c>
    </row>
    <row r="11" spans="2:3" ht="16.5" thickBot="1" x14ac:dyDescent="0.3">
      <c r="B11" s="18" t="s">
        <v>16</v>
      </c>
      <c r="C11" s="26">
        <f>C9*30%</f>
        <v>600</v>
      </c>
    </row>
    <row r="12" spans="2:3" ht="15.75" thickBot="1" x14ac:dyDescent="0.3"/>
    <row r="13" spans="2:3" ht="33" customHeight="1" x14ac:dyDescent="0.25">
      <c r="B13" s="43" t="s">
        <v>0</v>
      </c>
      <c r="C13" s="44"/>
    </row>
    <row r="14" spans="2:3" ht="17.25" x14ac:dyDescent="0.3">
      <c r="B14" s="19" t="s">
        <v>1</v>
      </c>
      <c r="C14" s="1">
        <v>200</v>
      </c>
    </row>
    <row r="15" spans="2:3" ht="17.25" x14ac:dyDescent="0.3">
      <c r="B15" s="20" t="s">
        <v>2</v>
      </c>
      <c r="C15" s="2">
        <v>5</v>
      </c>
    </row>
    <row r="16" spans="2:3" ht="17.25" x14ac:dyDescent="0.3">
      <c r="B16" s="20" t="s">
        <v>3</v>
      </c>
      <c r="C16" s="3">
        <v>1.0789999999999999E-2</v>
      </c>
    </row>
    <row r="17" spans="1:5" ht="17.25" x14ac:dyDescent="0.3">
      <c r="B17" s="21" t="s">
        <v>4</v>
      </c>
      <c r="C17" s="4">
        <f>FV(taxa_mensal, (qtd_anos*12), aporte)*-1</f>
        <v>16755.382799697527</v>
      </c>
      <c r="E17" s="6"/>
    </row>
    <row r="18" spans="1:5" ht="18" thickBot="1" x14ac:dyDescent="0.35">
      <c r="B18" s="22" t="s">
        <v>5</v>
      </c>
      <c r="C18" s="5">
        <f>patrimonio*rendimento_carteira</f>
        <v>100.53229679818516</v>
      </c>
    </row>
    <row r="19" spans="1:5" ht="15.75" thickBot="1" x14ac:dyDescent="0.3"/>
    <row r="20" spans="1:5" ht="17.25" x14ac:dyDescent="0.25">
      <c r="B20" s="43" t="s">
        <v>6</v>
      </c>
      <c r="C20" s="45"/>
      <c r="D20" s="8" t="s">
        <v>7</v>
      </c>
    </row>
    <row r="21" spans="1:5" ht="15.75" x14ac:dyDescent="0.25">
      <c r="A21" s="7">
        <v>2</v>
      </c>
      <c r="B21" s="23" t="s">
        <v>8</v>
      </c>
      <c r="C21" s="10">
        <f>FV($C$16, $A21*12,$C$14*-1)</f>
        <v>5445.5254595290435</v>
      </c>
      <c r="D21" s="11">
        <f>C21*rendimento_carteira</f>
        <v>32.673152757174265</v>
      </c>
    </row>
    <row r="22" spans="1:5" ht="15.75" x14ac:dyDescent="0.25">
      <c r="A22" s="7">
        <v>5</v>
      </c>
      <c r="B22" s="24" t="s">
        <v>9</v>
      </c>
      <c r="C22" s="12">
        <f>FV($C$16, $A22*12,$C$14*-1)</f>
        <v>16755.382799697527</v>
      </c>
      <c r="D22" s="13">
        <f>C22*rendimento_carteira</f>
        <v>100.53229679818516</v>
      </c>
    </row>
    <row r="23" spans="1:5" ht="15.75" x14ac:dyDescent="0.25">
      <c r="A23" s="7">
        <v>10</v>
      </c>
      <c r="B23" s="24" t="s">
        <v>10</v>
      </c>
      <c r="C23" s="12">
        <f>FV($C$16, $A23*12,$C$14*-1)</f>
        <v>48656.842506034438</v>
      </c>
      <c r="D23" s="13">
        <f>C23*rendimento_carteira</f>
        <v>291.94105503620665</v>
      </c>
    </row>
    <row r="24" spans="1:5" ht="15.75" x14ac:dyDescent="0.25">
      <c r="A24" s="7">
        <v>20</v>
      </c>
      <c r="B24" s="24" t="s">
        <v>11</v>
      </c>
      <c r="C24" s="12">
        <f>FV($C$16, $A24*12,$C$14*-1)</f>
        <v>225039.68001941612</v>
      </c>
      <c r="D24" s="13">
        <f>C24*rendimento_carteira</f>
        <v>1350.2380801164968</v>
      </c>
    </row>
    <row r="25" spans="1:5" ht="16.5" thickBot="1" x14ac:dyDescent="0.3">
      <c r="A25" s="7">
        <v>30</v>
      </c>
      <c r="B25" s="25" t="s">
        <v>12</v>
      </c>
      <c r="C25" s="14">
        <f>FV($C$16, $A25*12,$C$14*-1)</f>
        <v>864433.93100094295</v>
      </c>
      <c r="D25" s="15">
        <f>C25*rendimento_carteira</f>
        <v>5186.6035860056581</v>
      </c>
    </row>
    <row r="30" spans="1:5" x14ac:dyDescent="0.25">
      <c r="B30" s="27" t="s">
        <v>19</v>
      </c>
      <c r="C30" s="48" t="s">
        <v>17</v>
      </c>
      <c r="D30" s="48"/>
    </row>
    <row r="31" spans="1:5" x14ac:dyDescent="0.25">
      <c r="B31" s="28" t="s">
        <v>18</v>
      </c>
      <c r="C31" s="30">
        <f>aporte</f>
        <v>200</v>
      </c>
      <c r="D31" s="29"/>
    </row>
    <row r="34" spans="2:4" x14ac:dyDescent="0.25">
      <c r="B34" s="32" t="s">
        <v>20</v>
      </c>
      <c r="C34" s="32" t="s">
        <v>21</v>
      </c>
      <c r="D34" s="32" t="s">
        <v>22</v>
      </c>
    </row>
    <row r="35" spans="2:4" x14ac:dyDescent="0.25">
      <c r="B35" s="31" t="s">
        <v>23</v>
      </c>
      <c r="C35" s="35">
        <f>VLOOKUP($C$30&amp;"-"&amp;B35,Apoio!$A:$D,4,0)</f>
        <v>0.5</v>
      </c>
      <c r="D35" s="36">
        <f>C35*$C$31</f>
        <v>100</v>
      </c>
    </row>
    <row r="36" spans="2:4" x14ac:dyDescent="0.25">
      <c r="B36" s="31" t="s">
        <v>24</v>
      </c>
      <c r="C36" s="35">
        <f>VLOOKUP($C$30&amp;"-"&amp;B36,Apoio!$A:$D,4,0)</f>
        <v>0.1</v>
      </c>
      <c r="D36" s="36">
        <f t="shared" ref="D36:D40" si="0">C36*$C$31</f>
        <v>20</v>
      </c>
    </row>
    <row r="37" spans="2:4" x14ac:dyDescent="0.25">
      <c r="B37" s="31" t="s">
        <v>25</v>
      </c>
      <c r="C37" s="35">
        <f>VLOOKUP($C$30&amp;"-"&amp;B37,Apoio!$A:$D,4,0)</f>
        <v>0.05</v>
      </c>
      <c r="D37" s="36">
        <f t="shared" si="0"/>
        <v>10</v>
      </c>
    </row>
    <row r="38" spans="2:4" x14ac:dyDescent="0.25">
      <c r="B38" s="31" t="s">
        <v>26</v>
      </c>
      <c r="C38" s="35">
        <f>VLOOKUP($C$30&amp;"-"&amp;B38,Apoio!$A:$D,4,0)</f>
        <v>0.05</v>
      </c>
      <c r="D38" s="36">
        <f t="shared" si="0"/>
        <v>10</v>
      </c>
    </row>
    <row r="39" spans="2:4" x14ac:dyDescent="0.25">
      <c r="B39" s="31" t="s">
        <v>27</v>
      </c>
      <c r="C39" s="35">
        <f>VLOOKUP($C$30&amp;"-"&amp;B39,Apoio!$A:$D,4,0)</f>
        <v>0.2</v>
      </c>
      <c r="D39" s="36">
        <f t="shared" si="0"/>
        <v>40</v>
      </c>
    </row>
    <row r="40" spans="2:4" x14ac:dyDescent="0.25">
      <c r="B40" s="31" t="s">
        <v>28</v>
      </c>
      <c r="C40" s="35">
        <f>VLOOKUP($C$30&amp;"-"&amp;B40,Apoio!$A:$D,4,0)</f>
        <v>0.1</v>
      </c>
      <c r="D40" s="36">
        <f t="shared" si="0"/>
        <v>20</v>
      </c>
    </row>
    <row r="41" spans="2:4" x14ac:dyDescent="0.25">
      <c r="B41" s="33"/>
      <c r="C41" s="33"/>
      <c r="D41" s="34">
        <f>SUM(D35:D40)</f>
        <v>200</v>
      </c>
    </row>
    <row r="49" customFormat="1" x14ac:dyDescent="0.25"/>
    <row r="50" customFormat="1" x14ac:dyDescent="0.25"/>
    <row r="51" customFormat="1" x14ac:dyDescent="0.25"/>
  </sheetData>
  <mergeCells count="4">
    <mergeCell ref="B13:C13"/>
    <mergeCell ref="B20:C20"/>
    <mergeCell ref="B8:C8"/>
    <mergeCell ref="C30:D30"/>
  </mergeCells>
  <dataValidations count="1">
    <dataValidation type="list" allowBlank="1" showInputMessage="1" showErrorMessage="1" sqref="C30" xr:uid="{C5FA05A6-ADB2-4D68-B644-0FACD6D4449E}">
      <formula1>"Conservador,Moderado,Agressivo"</formula1>
    </dataValidation>
  </dataValidations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2EE2-6623-47A2-8C38-BD26229BF069}">
  <dimension ref="A2:H20"/>
  <sheetViews>
    <sheetView topLeftCell="A4" workbookViewId="0">
      <selection activeCell="F10" sqref="F10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11" customWidth="1"/>
  </cols>
  <sheetData>
    <row r="2" spans="1:8" x14ac:dyDescent="0.25">
      <c r="A2" s="49" t="s">
        <v>31</v>
      </c>
      <c r="B2" s="49" t="s">
        <v>19</v>
      </c>
      <c r="C2" s="49" t="s">
        <v>20</v>
      </c>
      <c r="D2" s="49" t="s">
        <v>29</v>
      </c>
    </row>
    <row r="3" spans="1:8" x14ac:dyDescent="0.25">
      <c r="A3" t="str">
        <f>B3&amp;"-"&amp;C3</f>
        <v>Conservador-PAPEL</v>
      </c>
      <c r="B3" t="s">
        <v>30</v>
      </c>
      <c r="C3" s="31" t="s">
        <v>23</v>
      </c>
      <c r="D3" s="35">
        <v>0.3</v>
      </c>
    </row>
    <row r="4" spans="1:8" x14ac:dyDescent="0.25">
      <c r="A4" t="str">
        <f t="shared" ref="A4:A14" si="0">B4&amp;"-"&amp;C4</f>
        <v>Conservador-TIJOLO</v>
      </c>
      <c r="B4" t="s">
        <v>30</v>
      </c>
      <c r="C4" s="31" t="s">
        <v>24</v>
      </c>
      <c r="D4" s="35">
        <v>0.5</v>
      </c>
      <c r="G4" s="27" t="str">
        <f>A10</f>
        <v>Moderado-TIJOLO</v>
      </c>
      <c r="H4" s="42">
        <f>VLOOKUP(G4,$A:$D,4,0)</f>
        <v>0.35</v>
      </c>
    </row>
    <row r="5" spans="1:8" x14ac:dyDescent="0.25">
      <c r="A5" t="str">
        <f t="shared" si="0"/>
        <v>Conservador-HIBRÍDOS</v>
      </c>
      <c r="B5" t="s">
        <v>30</v>
      </c>
      <c r="C5" s="31" t="s">
        <v>25</v>
      </c>
      <c r="D5" s="35">
        <v>0.1</v>
      </c>
    </row>
    <row r="6" spans="1:8" x14ac:dyDescent="0.25">
      <c r="A6" t="str">
        <f t="shared" si="0"/>
        <v>Conservador-FOFs</v>
      </c>
      <c r="B6" t="s">
        <v>30</v>
      </c>
      <c r="C6" s="31" t="s">
        <v>26</v>
      </c>
      <c r="D6" s="35">
        <v>0.1</v>
      </c>
    </row>
    <row r="7" spans="1:8" x14ac:dyDescent="0.25">
      <c r="A7" t="str">
        <f t="shared" si="0"/>
        <v>Conservador-DESENVOLVIMENTO</v>
      </c>
      <c r="B7" t="s">
        <v>30</v>
      </c>
      <c r="C7" s="31" t="s">
        <v>27</v>
      </c>
      <c r="D7" s="35">
        <v>0</v>
      </c>
    </row>
    <row r="8" spans="1:8" ht="15.75" thickBot="1" x14ac:dyDescent="0.3">
      <c r="A8" s="37" t="str">
        <f t="shared" si="0"/>
        <v>Conservador-HOTELARIAS</v>
      </c>
      <c r="B8" s="37" t="s">
        <v>30</v>
      </c>
      <c r="C8" s="38" t="s">
        <v>28</v>
      </c>
      <c r="D8" s="39">
        <v>0</v>
      </c>
    </row>
    <row r="9" spans="1:8" x14ac:dyDescent="0.25">
      <c r="A9" t="str">
        <f t="shared" si="0"/>
        <v>Moderado-PAPEL</v>
      </c>
      <c r="B9" t="s">
        <v>32</v>
      </c>
      <c r="C9" s="31" t="s">
        <v>23</v>
      </c>
      <c r="D9" s="35">
        <v>0.32</v>
      </c>
    </row>
    <row r="10" spans="1:8" x14ac:dyDescent="0.25">
      <c r="A10" t="str">
        <f t="shared" si="0"/>
        <v>Moderado-TIJOLO</v>
      </c>
      <c r="B10" t="s">
        <v>32</v>
      </c>
      <c r="C10" s="31" t="s">
        <v>24</v>
      </c>
      <c r="D10" s="35">
        <v>0.35</v>
      </c>
    </row>
    <row r="11" spans="1:8" x14ac:dyDescent="0.25">
      <c r="A11" t="str">
        <f t="shared" si="0"/>
        <v>Moderado-HIBRÍDOS</v>
      </c>
      <c r="B11" t="s">
        <v>32</v>
      </c>
      <c r="C11" s="31" t="s">
        <v>25</v>
      </c>
      <c r="D11" s="35">
        <v>0.08</v>
      </c>
    </row>
    <row r="12" spans="1:8" x14ac:dyDescent="0.25">
      <c r="A12" t="str">
        <f t="shared" si="0"/>
        <v>Moderado-FOFs</v>
      </c>
      <c r="B12" t="s">
        <v>32</v>
      </c>
      <c r="C12" s="31" t="s">
        <v>26</v>
      </c>
      <c r="D12" s="35">
        <v>0.05</v>
      </c>
    </row>
    <row r="13" spans="1:8" x14ac:dyDescent="0.25">
      <c r="A13" t="str">
        <f t="shared" si="0"/>
        <v>Moderado-DESENVOLVIMENTO</v>
      </c>
      <c r="B13" t="s">
        <v>32</v>
      </c>
      <c r="C13" s="31" t="s">
        <v>27</v>
      </c>
      <c r="D13" s="35">
        <v>0.1</v>
      </c>
    </row>
    <row r="14" spans="1:8" ht="15.75" thickBot="1" x14ac:dyDescent="0.3">
      <c r="A14" s="37" t="str">
        <f t="shared" si="0"/>
        <v>Moderado-HOTELARIAS</v>
      </c>
      <c r="B14" s="37" t="s">
        <v>32</v>
      </c>
      <c r="C14" s="38" t="s">
        <v>28</v>
      </c>
      <c r="D14" s="40">
        <v>0.1</v>
      </c>
    </row>
    <row r="15" spans="1:8" x14ac:dyDescent="0.25">
      <c r="A15" t="str">
        <f t="shared" ref="A15:A20" si="1">B15&amp;"-"&amp;C15</f>
        <v>Agressivo-PAPEL</v>
      </c>
      <c r="B15" t="s">
        <v>17</v>
      </c>
      <c r="C15" s="31" t="s">
        <v>23</v>
      </c>
      <c r="D15" s="41">
        <v>0.5</v>
      </c>
    </row>
    <row r="16" spans="1:8" x14ac:dyDescent="0.25">
      <c r="A16" t="str">
        <f t="shared" si="1"/>
        <v>Agressivo-TIJOLO</v>
      </c>
      <c r="B16" t="s">
        <v>17</v>
      </c>
      <c r="C16" s="31" t="s">
        <v>24</v>
      </c>
      <c r="D16" s="41">
        <v>0.1</v>
      </c>
    </row>
    <row r="17" spans="1:4" x14ac:dyDescent="0.25">
      <c r="A17" t="str">
        <f t="shared" si="1"/>
        <v>Agressivo-HIBRÍDOS</v>
      </c>
      <c r="B17" t="s">
        <v>17</v>
      </c>
      <c r="C17" s="31" t="s">
        <v>25</v>
      </c>
      <c r="D17" s="41">
        <v>0.05</v>
      </c>
    </row>
    <row r="18" spans="1:4" x14ac:dyDescent="0.25">
      <c r="A18" t="str">
        <f t="shared" si="1"/>
        <v>Agressivo-FOFs</v>
      </c>
      <c r="B18" t="s">
        <v>17</v>
      </c>
      <c r="C18" s="31" t="s">
        <v>26</v>
      </c>
      <c r="D18" s="41">
        <v>0.05</v>
      </c>
    </row>
    <row r="19" spans="1:4" x14ac:dyDescent="0.25">
      <c r="A19" t="str">
        <f t="shared" si="1"/>
        <v>Agressivo-DESENVOLVIMENTO</v>
      </c>
      <c r="B19" t="s">
        <v>17</v>
      </c>
      <c r="C19" s="31" t="s">
        <v>27</v>
      </c>
      <c r="D19" s="41">
        <v>0.2</v>
      </c>
    </row>
    <row r="20" spans="1:4" ht="15.75" thickBot="1" x14ac:dyDescent="0.3">
      <c r="A20" s="37" t="str">
        <f t="shared" si="1"/>
        <v>Agressivo-HOTELARIAS</v>
      </c>
      <c r="B20" s="37" t="s">
        <v>17</v>
      </c>
      <c r="C20" s="38" t="s">
        <v>28</v>
      </c>
      <c r="D20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Apoio</vt:lpstr>
      <vt:lpstr>aporte</vt:lpstr>
      <vt:lpstr>App!Area_de_impressao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Helton Ferreira</dc:creator>
  <cp:keywords/>
  <dc:description/>
  <cp:lastModifiedBy>Helton Ferreira</cp:lastModifiedBy>
  <cp:revision/>
  <cp:lastPrinted>2026-02-14T18:40:29Z</cp:lastPrinted>
  <dcterms:created xsi:type="dcterms:W3CDTF">2026-02-07T17:08:32Z</dcterms:created>
  <dcterms:modified xsi:type="dcterms:W3CDTF">2026-02-14T19:02:20Z</dcterms:modified>
  <cp:category/>
  <cp:contentStatus/>
</cp:coreProperties>
</file>